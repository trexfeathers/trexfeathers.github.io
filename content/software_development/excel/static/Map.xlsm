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emos\"/>
    </mc:Choice>
  </mc:AlternateContent>
  <bookViews>
    <workbookView xWindow="0" yWindow="0" windowWidth="20490" windowHeight="7305" activeTab="4"/>
  </bookViews>
  <sheets>
    <sheet name="db" sheetId="4" r:id="rId1"/>
    <sheet name="setup" sheetId="1" r:id="rId2"/>
    <sheet name="co" sheetId="2" r:id="rId3"/>
    <sheet name="Report" sheetId="3" r:id="rId4"/>
    <sheet name="Map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G9" i="3" l="1"/>
  <c r="G10" i="3"/>
  <c r="G11" i="3"/>
  <c r="G12" i="3"/>
  <c r="G13" i="3"/>
  <c r="G14" i="3"/>
  <c r="G15" i="3"/>
  <c r="G16" i="3"/>
  <c r="G8" i="3"/>
  <c r="F9" i="3"/>
  <c r="F10" i="3"/>
  <c r="F11" i="3"/>
  <c r="F12" i="3"/>
  <c r="F13" i="3"/>
  <c r="F14" i="3"/>
  <c r="F15" i="3"/>
  <c r="F16" i="3"/>
  <c r="F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E8" i="3"/>
  <c r="D8" i="3"/>
</calcChain>
</file>

<file path=xl/sharedStrings.xml><?xml version="1.0" encoding="utf-8"?>
<sst xmlns="http://schemas.openxmlformats.org/spreadsheetml/2006/main" count="161" uniqueCount="19">
  <si>
    <t>x (cm)</t>
  </si>
  <si>
    <t>y (cm)</t>
  </si>
  <si>
    <t>Dig Site</t>
  </si>
  <si>
    <t>Date</t>
  </si>
  <si>
    <t>Start Date</t>
  </si>
  <si>
    <t>End Date</t>
  </si>
  <si>
    <t>Bones Examined</t>
  </si>
  <si>
    <t>Theropod Bones</t>
  </si>
  <si>
    <t>x</t>
  </si>
  <si>
    <t>y</t>
  </si>
  <si>
    <t>A</t>
  </si>
  <si>
    <t>B</t>
  </si>
  <si>
    <t>C</t>
  </si>
  <si>
    <t>D</t>
  </si>
  <si>
    <t>E</t>
  </si>
  <si>
    <t>F</t>
  </si>
  <si>
    <t>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</si>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</sst>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0" xfId="0" applyFont="1" applyFill="1"/>
    <xf numFmtId="14" fontId="0" fillId="3" borderId="0" xfId="0" applyNumberFormat="1" applyFill="1"/>
    <xf numFmtId="0" fontId="1" fillId="2" borderId="1" xfId="0" applyFont="1" applyFill="1" applyBorder="1"/>
    <xf numFmtId="14" fontId="0" fillId="3" borderId="1" xfId="0" applyNumberForma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00"/>
      <color rgb="FF00FF00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Report!$B$2</c:f>
          <c:strCache>
            <c:ptCount val="1"/>
            <c:pt idx="0">
              <c:v>Theropod Bones Found by Dig Site - 1/1/15 to 1/2/15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v>Bones Examined</c:v>
          </c:tx>
          <c:spPr>
            <a:solidFill>
              <a:srgbClr val="00FF00">
                <a:alpha val="49804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B5E7FF46-4653-4D6F-9E9F-327756207F1F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62085B7E-C708-44E4-B047-2A099C074580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F860697-BB6A-4656-9901-4E02275C5410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62F7DC1A-74F9-4C9A-8678-C873D8F3B34F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8541CD5C-C1C6-4F46-A3C2-8E0641CF2D98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158E0D51-90F0-4507-BDB6-D854D35139C3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C9BD33C0-78D0-460B-94AF-3A7BACC98E10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A636D475-F118-412E-B050-BF556E34743F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CF08185E-4E51-48C3-86C8-46CACA1697D3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15298646-555C-432D-8DE1-1AA34464899C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E4C63BB9-4753-42EB-9B8E-47FCE3DCCF7C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7C16A2C5-051D-4268-8A1A-F69FC4B119F5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26029D66-E3A9-4D46-9CD2-E6E07B23347E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66782BDE-C894-4DB9-8F36-3DEE0B8382B3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F6FE6E6A-AD16-4B6E-89D4-84FD9F90CFCA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B9E0A16B-7814-4D73-BA4A-2C9409DDF050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4B98352F-8964-4CB3-B757-3F5C3F00ABF7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333463D6-F987-4F4A-85CC-459209038E09}" type="BUBBLESIZE">
                      <a:rPr lang="en-GB" baseline="0"/>
                      <a:pPr/>
                      <a:t>[BUBBLE SIZE]</a:t>
                    </a:fld>
                    <a:endParaRPr lang="en-GB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FF">
                  <a:alpha val="74902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Report!$F$8:$F$16</c:f>
              <c:numCache>
                <c:formatCode>General</c:formatCode>
                <c:ptCount val="9"/>
                <c:pt idx="0">
                  <c:v>4.9740000000000002</c:v>
                </c:pt>
                <c:pt idx="1">
                  <c:v>12.885</c:v>
                </c:pt>
                <c:pt idx="2">
                  <c:v>5.7409999999999997</c:v>
                </c:pt>
                <c:pt idx="3">
                  <c:v>2.1960000000000002</c:v>
                </c:pt>
                <c:pt idx="4">
                  <c:v>17.251000000000001</c:v>
                </c:pt>
                <c:pt idx="5">
                  <c:v>12.065</c:v>
                </c:pt>
                <c:pt idx="6">
                  <c:v>12.065</c:v>
                </c:pt>
                <c:pt idx="7">
                  <c:v>0.66100000000000003</c:v>
                </c:pt>
                <c:pt idx="8">
                  <c:v>8.07</c:v>
                </c:pt>
              </c:numCache>
            </c:numRef>
          </c:xVal>
          <c:yVal>
            <c:numRef>
              <c:f>Report!$G$8:$G$16</c:f>
              <c:numCache>
                <c:formatCode>General</c:formatCode>
                <c:ptCount val="9"/>
                <c:pt idx="0">
                  <c:v>-1.349</c:v>
                </c:pt>
                <c:pt idx="1">
                  <c:v>-2.6720000000000002</c:v>
                </c:pt>
                <c:pt idx="2">
                  <c:v>-9.7629999999999999</c:v>
                </c:pt>
                <c:pt idx="3">
                  <c:v>-3.2810000000000001</c:v>
                </c:pt>
                <c:pt idx="4">
                  <c:v>-4.1539999999999999</c:v>
                </c:pt>
                <c:pt idx="5">
                  <c:v>-5.133</c:v>
                </c:pt>
                <c:pt idx="6">
                  <c:v>-8.07</c:v>
                </c:pt>
                <c:pt idx="7">
                  <c:v>-1.244</c:v>
                </c:pt>
                <c:pt idx="8">
                  <c:v>-2.2490000000000001</c:v>
                </c:pt>
              </c:numCache>
            </c:numRef>
          </c:yVal>
          <c:bubbleSize>
            <c:numRef>
              <c:f>Report!$D$8:$D$16</c:f>
              <c:numCache>
                <c:formatCode>General</c:formatCode>
                <c:ptCount val="9"/>
                <c:pt idx="0">
                  <c:v>76</c:v>
                </c:pt>
                <c:pt idx="1">
                  <c:v>51</c:v>
                </c:pt>
                <c:pt idx="2">
                  <c:v>21</c:v>
                </c:pt>
                <c:pt idx="3">
                  <c:v>55</c:v>
                </c:pt>
                <c:pt idx="4">
                  <c:v>35</c:v>
                </c:pt>
                <c:pt idx="5">
                  <c:v>4</c:v>
                </c:pt>
                <c:pt idx="6">
                  <c:v>152</c:v>
                </c:pt>
                <c:pt idx="7">
                  <c:v>67</c:v>
                </c:pt>
                <c:pt idx="8">
                  <c:v>62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Report!$C$8:$C$16</c15:f>
                <c15:dlblRangeCache>
                  <c:ptCount val="9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  <c:pt idx="7">
                    <c:v>H</c:v>
                  </c:pt>
                  <c:pt idx="8">
                    <c:v>I</c:v>
                  </c:pt>
                </c15:dlblRangeCache>
              </c15:datalabelsRange>
            </c:ext>
          </c:extLst>
        </c:ser>
        <c:ser>
          <c:idx val="1"/>
          <c:order val="1"/>
          <c:tx>
            <c:v>Theropod Bones</c:v>
          </c:tx>
          <c:spPr>
            <a:solidFill>
              <a:srgbClr val="003300">
                <a:alpha val="50196"/>
              </a:srgbClr>
            </a:solidFill>
            <a:ln w="25400">
              <a:noFill/>
            </a:ln>
            <a:effectLst/>
            <a:scene3d>
              <a:camera prst="orthographicFront"/>
              <a:lightRig rig="threePt" dir="t"/>
            </a:scene3d>
          </c:spPr>
          <c:invertIfNegative val="0"/>
          <c:xVal>
            <c:numRef>
              <c:f>Report!$F$8:$F$16</c:f>
              <c:numCache>
                <c:formatCode>General</c:formatCode>
                <c:ptCount val="9"/>
                <c:pt idx="0">
                  <c:v>4.9740000000000002</c:v>
                </c:pt>
                <c:pt idx="1">
                  <c:v>12.885</c:v>
                </c:pt>
                <c:pt idx="2">
                  <c:v>5.7409999999999997</c:v>
                </c:pt>
                <c:pt idx="3">
                  <c:v>2.1960000000000002</c:v>
                </c:pt>
                <c:pt idx="4">
                  <c:v>17.251000000000001</c:v>
                </c:pt>
                <c:pt idx="5">
                  <c:v>12.065</c:v>
                </c:pt>
                <c:pt idx="6">
                  <c:v>12.065</c:v>
                </c:pt>
                <c:pt idx="7">
                  <c:v>0.66100000000000003</c:v>
                </c:pt>
                <c:pt idx="8">
                  <c:v>8.07</c:v>
                </c:pt>
              </c:numCache>
            </c:numRef>
          </c:xVal>
          <c:yVal>
            <c:numRef>
              <c:f>Report!$G$8:$G$16</c:f>
              <c:numCache>
                <c:formatCode>General</c:formatCode>
                <c:ptCount val="9"/>
                <c:pt idx="0">
                  <c:v>-1.349</c:v>
                </c:pt>
                <c:pt idx="1">
                  <c:v>-2.6720000000000002</c:v>
                </c:pt>
                <c:pt idx="2">
                  <c:v>-9.7629999999999999</c:v>
                </c:pt>
                <c:pt idx="3">
                  <c:v>-3.2810000000000001</c:v>
                </c:pt>
                <c:pt idx="4">
                  <c:v>-4.1539999999999999</c:v>
                </c:pt>
                <c:pt idx="5">
                  <c:v>-5.133</c:v>
                </c:pt>
                <c:pt idx="6">
                  <c:v>-8.07</c:v>
                </c:pt>
                <c:pt idx="7">
                  <c:v>-1.244</c:v>
                </c:pt>
                <c:pt idx="8">
                  <c:v>-2.2490000000000001</c:v>
                </c:pt>
              </c:numCache>
            </c:numRef>
          </c:yVal>
          <c:bubbleSize>
            <c:numRef>
              <c:f>Report!$E$8:$E$16</c:f>
              <c:numCache>
                <c:formatCode>General</c:formatCode>
                <c:ptCount val="9"/>
                <c:pt idx="0">
                  <c:v>8</c:v>
                </c:pt>
                <c:pt idx="1">
                  <c:v>11</c:v>
                </c:pt>
                <c:pt idx="2">
                  <c:v>5</c:v>
                </c:pt>
                <c:pt idx="3">
                  <c:v>11</c:v>
                </c:pt>
                <c:pt idx="4">
                  <c:v>6</c:v>
                </c:pt>
                <c:pt idx="5">
                  <c:v>1</c:v>
                </c:pt>
                <c:pt idx="6">
                  <c:v>26</c:v>
                </c:pt>
                <c:pt idx="7">
                  <c:v>23</c:v>
                </c:pt>
                <c:pt idx="8">
                  <c:v>22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70"/>
        <c:showNegBubbles val="0"/>
        <c:axId val="334759768"/>
        <c:axId val="334762512"/>
      </c:bubbleChart>
      <c:valAx>
        <c:axId val="334759768"/>
        <c:scaling>
          <c:orientation val="minMax"/>
          <c:max val="20.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334762512"/>
        <c:crosses val="autoZero"/>
        <c:crossBetween val="midCat"/>
      </c:valAx>
      <c:valAx>
        <c:axId val="334762512"/>
        <c:scaling>
          <c:orientation val="minMax"/>
          <c:max val="0"/>
          <c:min val="-13.1"/>
        </c:scaling>
        <c:delete val="1"/>
        <c:axPos val="l"/>
        <c:numFmt formatCode="General" sourceLinked="1"/>
        <c:majorTickMark val="none"/>
        <c:minorTickMark val="none"/>
        <c:tickLblPos val="nextTo"/>
        <c:crossAx val="334759768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571501</xdr:colOff>
      <xdr:row>24</xdr:row>
      <xdr:rowOff>142875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3" t="1764" r="806" b="1176"/>
        <a:stretch/>
      </xdr:blipFill>
      <xdr:spPr>
        <a:xfrm>
          <a:off x="0" y="0"/>
          <a:ext cx="7277101" cy="4714875"/>
        </a:xfrm>
        <a:prstGeom prst="rect">
          <a:avLst/>
        </a:prstGeom>
      </xdr:spPr>
    </xdr:pic>
    <xdr:clientData/>
  </xdr:twoCellAnchor>
  <xdr:twoCellAnchor>
    <xdr:from>
      <xdr:col>2</xdr:col>
      <xdr:colOff>390525</xdr:colOff>
      <xdr:row>1</xdr:row>
      <xdr:rowOff>114300</xdr:rowOff>
    </xdr:from>
    <xdr:to>
      <xdr:col>3</xdr:col>
      <xdr:colOff>142875</xdr:colOff>
      <xdr:row>3</xdr:row>
      <xdr:rowOff>95250</xdr:rowOff>
    </xdr:to>
    <xdr:sp macro="" textlink="">
      <xdr:nvSpPr>
        <xdr:cNvPr id="7" name="Oval 6"/>
        <xdr:cNvSpPr/>
      </xdr:nvSpPr>
      <xdr:spPr>
        <a:xfrm>
          <a:off x="1609725" y="30480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7</xdr:col>
      <xdr:colOff>190500</xdr:colOff>
      <xdr:row>4</xdr:row>
      <xdr:rowOff>19050</xdr:rowOff>
    </xdr:from>
    <xdr:to>
      <xdr:col>7</xdr:col>
      <xdr:colOff>552450</xdr:colOff>
      <xdr:row>6</xdr:row>
      <xdr:rowOff>0</xdr:rowOff>
    </xdr:to>
    <xdr:sp macro="" textlink="">
      <xdr:nvSpPr>
        <xdr:cNvPr id="8" name="Oval 7"/>
        <xdr:cNvSpPr/>
      </xdr:nvSpPr>
      <xdr:spPr>
        <a:xfrm>
          <a:off x="4457700" y="78105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3</xdr:col>
      <xdr:colOff>57150</xdr:colOff>
      <xdr:row>17</xdr:row>
      <xdr:rowOff>95250</xdr:rowOff>
    </xdr:from>
    <xdr:to>
      <xdr:col>3</xdr:col>
      <xdr:colOff>419100</xdr:colOff>
      <xdr:row>19</xdr:row>
      <xdr:rowOff>76200</xdr:rowOff>
    </xdr:to>
    <xdr:sp macro="" textlink="">
      <xdr:nvSpPr>
        <xdr:cNvPr id="9" name="Oval 8"/>
        <xdr:cNvSpPr/>
      </xdr:nvSpPr>
      <xdr:spPr>
        <a:xfrm>
          <a:off x="1885950" y="333375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5</xdr:row>
      <xdr:rowOff>47625</xdr:rowOff>
    </xdr:from>
    <xdr:to>
      <xdr:col>1</xdr:col>
      <xdr:colOff>361950</xdr:colOff>
      <xdr:row>7</xdr:row>
      <xdr:rowOff>28575</xdr:rowOff>
    </xdr:to>
    <xdr:sp macro="" textlink="">
      <xdr:nvSpPr>
        <xdr:cNvPr id="10" name="Oval 9"/>
        <xdr:cNvSpPr/>
      </xdr:nvSpPr>
      <xdr:spPr>
        <a:xfrm>
          <a:off x="609600" y="1000125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9</xdr:col>
      <xdr:colOff>542925</xdr:colOff>
      <xdr:row>6</xdr:row>
      <xdr:rowOff>171450</xdr:rowOff>
    </xdr:from>
    <xdr:to>
      <xdr:col>10</xdr:col>
      <xdr:colOff>295275</xdr:colOff>
      <xdr:row>8</xdr:row>
      <xdr:rowOff>152400</xdr:rowOff>
    </xdr:to>
    <xdr:sp macro="" textlink="">
      <xdr:nvSpPr>
        <xdr:cNvPr id="11" name="Oval 10"/>
        <xdr:cNvSpPr/>
      </xdr:nvSpPr>
      <xdr:spPr>
        <a:xfrm>
          <a:off x="6029325" y="131445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6</xdr:col>
      <xdr:colOff>504825</xdr:colOff>
      <xdr:row>8</xdr:row>
      <xdr:rowOff>142875</xdr:rowOff>
    </xdr:from>
    <xdr:to>
      <xdr:col>7</xdr:col>
      <xdr:colOff>257175</xdr:colOff>
      <xdr:row>10</xdr:row>
      <xdr:rowOff>123825</xdr:rowOff>
    </xdr:to>
    <xdr:sp macro="" textlink="">
      <xdr:nvSpPr>
        <xdr:cNvPr id="12" name="Oval 11"/>
        <xdr:cNvSpPr/>
      </xdr:nvSpPr>
      <xdr:spPr>
        <a:xfrm>
          <a:off x="4162425" y="1666875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6</xdr:col>
      <xdr:colOff>504825</xdr:colOff>
      <xdr:row>14</xdr:row>
      <xdr:rowOff>57150</xdr:rowOff>
    </xdr:from>
    <xdr:to>
      <xdr:col>7</xdr:col>
      <xdr:colOff>257175</xdr:colOff>
      <xdr:row>16</xdr:row>
      <xdr:rowOff>38100</xdr:rowOff>
    </xdr:to>
    <xdr:sp macro="" textlink="">
      <xdr:nvSpPr>
        <xdr:cNvPr id="13" name="Oval 12"/>
        <xdr:cNvSpPr/>
      </xdr:nvSpPr>
      <xdr:spPr>
        <a:xfrm>
          <a:off x="4162425" y="272415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7</a:t>
          </a:r>
        </a:p>
      </xdr:txBody>
    </xdr:sp>
    <xdr:clientData/>
  </xdr:twoCellAnchor>
  <xdr:twoCellAnchor>
    <xdr:from>
      <xdr:col>0</xdr:col>
      <xdr:colOff>57150</xdr:colOff>
      <xdr:row>1</xdr:row>
      <xdr:rowOff>76200</xdr:rowOff>
    </xdr:from>
    <xdr:to>
      <xdr:col>0</xdr:col>
      <xdr:colOff>419100</xdr:colOff>
      <xdr:row>3</xdr:row>
      <xdr:rowOff>57150</xdr:rowOff>
    </xdr:to>
    <xdr:sp macro="" textlink="">
      <xdr:nvSpPr>
        <xdr:cNvPr id="14" name="Oval 13"/>
        <xdr:cNvSpPr/>
      </xdr:nvSpPr>
      <xdr:spPr>
        <a:xfrm>
          <a:off x="57150" y="26670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4</xdr:col>
      <xdr:colOff>285750</xdr:colOff>
      <xdr:row>3</xdr:row>
      <xdr:rowOff>57150</xdr:rowOff>
    </xdr:from>
    <xdr:to>
      <xdr:col>5</xdr:col>
      <xdr:colOff>38100</xdr:colOff>
      <xdr:row>5</xdr:row>
      <xdr:rowOff>38100</xdr:rowOff>
    </xdr:to>
    <xdr:sp macro="" textlink="">
      <xdr:nvSpPr>
        <xdr:cNvPr id="15" name="Oval 14"/>
        <xdr:cNvSpPr/>
      </xdr:nvSpPr>
      <xdr:spPr>
        <a:xfrm>
          <a:off x="2724150" y="628650"/>
          <a:ext cx="361950" cy="361950"/>
        </a:xfrm>
        <a:prstGeom prst="ellipse">
          <a:avLst/>
        </a:prstGeom>
        <a:solidFill>
          <a:schemeClr val="tx1">
            <a:alpha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bg1"/>
              </a:solidFill>
            </a:rPr>
            <a:t>9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521" cy="603697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0.80174</cdr:x>
      <cdr:y>0</cdr:y>
    </cdr:from>
    <cdr:to>
      <cdr:x>1</cdr:x>
      <cdr:y>0.20177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432182" y="0"/>
          <a:ext cx="1837924" cy="122081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0.8252</cdr:x>
      <cdr:y>0.01774</cdr:y>
    </cdr:from>
    <cdr:to>
      <cdr:x>0.8527</cdr:x>
      <cdr:y>0.05987</cdr:y>
    </cdr:to>
    <cdr:sp macro="" textlink="">
      <cdr:nvSpPr>
        <cdr:cNvPr id="3" name="Oval 2"/>
        <cdr:cNvSpPr/>
      </cdr:nvSpPr>
      <cdr:spPr>
        <a:xfrm xmlns:a="http://schemas.openxmlformats.org/drawingml/2006/main">
          <a:off x="7649693" y="107324"/>
          <a:ext cx="254895" cy="254895"/>
        </a:xfrm>
        <a:prstGeom xmlns:a="http://schemas.openxmlformats.org/drawingml/2006/main" prst="ellipse">
          <a:avLst/>
        </a:prstGeom>
        <a:solidFill xmlns:a="http://schemas.openxmlformats.org/drawingml/2006/main">
          <a:srgbClr val="00FF00">
            <a:alpha val="50196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0.82489</cdr:x>
      <cdr:y>0.07935</cdr:y>
    </cdr:from>
    <cdr:to>
      <cdr:x>0.85414</cdr:x>
      <cdr:y>0.12417</cdr:y>
    </cdr:to>
    <cdr:sp macro="" textlink="">
      <cdr:nvSpPr>
        <cdr:cNvPr id="4" name="Oval 3"/>
        <cdr:cNvSpPr/>
      </cdr:nvSpPr>
      <cdr:spPr>
        <a:xfrm xmlns:a="http://schemas.openxmlformats.org/drawingml/2006/main">
          <a:off x="7646832" y="480096"/>
          <a:ext cx="271172" cy="27117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3300">
            <a:alpha val="49804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0.84836</cdr:x>
      <cdr:y>0.0133</cdr:y>
    </cdr:from>
    <cdr:to>
      <cdr:x>0.99886</cdr:x>
      <cdr:y>0.06652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7864341" y="80492"/>
          <a:ext cx="1395211" cy="3219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/>
            <a:t>=</a:t>
          </a:r>
          <a:r>
            <a:rPr lang="en-GB" sz="1200" baseline="0"/>
            <a:t> total bones</a:t>
          </a:r>
          <a:endParaRPr lang="en-GB" sz="1200"/>
        </a:p>
      </cdr:txBody>
    </cdr:sp>
  </cdr:relSizeAnchor>
  <cdr:relSizeAnchor xmlns:cdr="http://schemas.openxmlformats.org/drawingml/2006/chartDrawing">
    <cdr:from>
      <cdr:x>0.84949</cdr:x>
      <cdr:y>0.07492</cdr:y>
    </cdr:from>
    <cdr:to>
      <cdr:x>1</cdr:x>
      <cdr:y>0.12813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7874895" y="453265"/>
          <a:ext cx="1395211" cy="3219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/>
            <a:t>=</a:t>
          </a:r>
          <a:r>
            <a:rPr lang="en-GB" sz="1200" baseline="0"/>
            <a:t> theropod bones</a:t>
          </a:r>
          <a:endParaRPr lang="en-GB" sz="1200"/>
        </a:p>
      </cdr:txBody>
    </cdr:sp>
  </cdr:relSizeAnchor>
  <cdr:relSizeAnchor xmlns:cdr="http://schemas.openxmlformats.org/drawingml/2006/chartDrawing">
    <cdr:from>
      <cdr:x>0.81766</cdr:x>
      <cdr:y>0.137</cdr:y>
    </cdr:from>
    <cdr:to>
      <cdr:x>0.98584</cdr:x>
      <cdr:y>0.19021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7579753" y="828899"/>
          <a:ext cx="1559059" cy="3219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 b="1"/>
            <a:t>dig site; total bones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D130"/>
  <sheetViews>
    <sheetView workbookViewId="0"/>
  </sheetViews>
  <sheetFormatPr defaultRowHeight="15" x14ac:dyDescent="0.25"/>
  <cols>
    <col min="1" max="1" width="10.7109375" bestFit="1" customWidth="1"/>
    <col min="3" max="3" width="15.7109375" bestFit="1" customWidth="1"/>
    <col min="4" max="4" width="15.5703125" bestFit="1" customWidth="1"/>
  </cols>
  <sheetData>
    <row r="1" spans="1:4" x14ac:dyDescent="0.25">
      <c r="A1" t="s">
        <v>3</v>
      </c>
      <c r="B1" t="s">
        <v>2</v>
      </c>
      <c r="C1" t="s">
        <v>6</v>
      </c>
      <c r="D1" t="s">
        <v>7</v>
      </c>
    </row>
    <row r="2" spans="1:4" x14ac:dyDescent="0.25">
      <c r="A2" s="1">
        <v>42007</v>
      </c>
      <c r="B2" t="s">
        <v>13</v>
      </c>
      <c r="C2">
        <v>24</v>
      </c>
      <c r="D2">
        <v>9</v>
      </c>
    </row>
    <row r="3" spans="1:4" x14ac:dyDescent="0.25">
      <c r="A3" s="1">
        <v>42020</v>
      </c>
      <c r="B3" t="s">
        <v>11</v>
      </c>
      <c r="C3">
        <v>2</v>
      </c>
      <c r="D3">
        <v>1</v>
      </c>
    </row>
    <row r="4" spans="1:4" x14ac:dyDescent="0.25">
      <c r="A4" s="1">
        <v>42108</v>
      </c>
      <c r="B4" t="s">
        <v>12</v>
      </c>
      <c r="C4">
        <v>7</v>
      </c>
      <c r="D4">
        <v>0</v>
      </c>
    </row>
    <row r="5" spans="1:4" x14ac:dyDescent="0.25">
      <c r="A5" s="1">
        <v>42085</v>
      </c>
      <c r="B5" t="s">
        <v>17</v>
      </c>
      <c r="C5">
        <v>7</v>
      </c>
      <c r="D5">
        <v>1</v>
      </c>
    </row>
    <row r="6" spans="1:4" x14ac:dyDescent="0.25">
      <c r="A6" s="1">
        <v>42139</v>
      </c>
      <c r="B6" t="s">
        <v>17</v>
      </c>
      <c r="C6">
        <v>15</v>
      </c>
      <c r="D6">
        <v>3</v>
      </c>
    </row>
    <row r="7" spans="1:4" x14ac:dyDescent="0.25">
      <c r="A7" s="1">
        <v>42139</v>
      </c>
      <c r="B7" t="s">
        <v>11</v>
      </c>
      <c r="C7">
        <v>48</v>
      </c>
      <c r="D7">
        <v>2</v>
      </c>
    </row>
    <row r="8" spans="1:4" x14ac:dyDescent="0.25">
      <c r="A8" s="1">
        <v>42135</v>
      </c>
      <c r="B8" t="s">
        <v>16</v>
      </c>
      <c r="C8">
        <v>29</v>
      </c>
      <c r="D8">
        <v>10</v>
      </c>
    </row>
    <row r="9" spans="1:4" x14ac:dyDescent="0.25">
      <c r="A9" s="1">
        <v>42138</v>
      </c>
      <c r="B9" t="s">
        <v>14</v>
      </c>
      <c r="C9">
        <v>39</v>
      </c>
      <c r="D9">
        <v>7</v>
      </c>
    </row>
    <row r="10" spans="1:4" x14ac:dyDescent="0.25">
      <c r="A10" s="1">
        <v>42139</v>
      </c>
      <c r="B10" t="s">
        <v>12</v>
      </c>
      <c r="C10">
        <v>36</v>
      </c>
      <c r="D10">
        <v>5</v>
      </c>
    </row>
    <row r="11" spans="1:4" x14ac:dyDescent="0.25">
      <c r="A11" s="1">
        <v>42071</v>
      </c>
      <c r="B11" t="s">
        <v>17</v>
      </c>
      <c r="C11">
        <v>17</v>
      </c>
      <c r="D11">
        <v>2</v>
      </c>
    </row>
    <row r="12" spans="1:4" x14ac:dyDescent="0.25">
      <c r="A12" s="1">
        <v>42064</v>
      </c>
      <c r="B12" t="s">
        <v>13</v>
      </c>
      <c r="C12">
        <v>6</v>
      </c>
      <c r="D12">
        <v>1</v>
      </c>
    </row>
    <row r="13" spans="1:4" x14ac:dyDescent="0.25">
      <c r="A13" s="1">
        <v>42137</v>
      </c>
      <c r="B13" t="s">
        <v>18</v>
      </c>
      <c r="C13">
        <v>20</v>
      </c>
      <c r="D13">
        <v>5</v>
      </c>
    </row>
    <row r="14" spans="1:4" x14ac:dyDescent="0.25">
      <c r="A14" s="1">
        <v>42026</v>
      </c>
      <c r="B14" t="s">
        <v>14</v>
      </c>
      <c r="C14">
        <v>35</v>
      </c>
      <c r="D14">
        <v>6</v>
      </c>
    </row>
    <row r="15" spans="1:4" x14ac:dyDescent="0.25">
      <c r="A15" s="1">
        <v>42053</v>
      </c>
      <c r="B15" t="s">
        <v>11</v>
      </c>
      <c r="C15">
        <v>43</v>
      </c>
      <c r="D15">
        <v>5</v>
      </c>
    </row>
    <row r="16" spans="1:4" x14ac:dyDescent="0.25">
      <c r="A16" s="1">
        <v>42135</v>
      </c>
      <c r="B16" t="s">
        <v>12</v>
      </c>
      <c r="C16">
        <v>4</v>
      </c>
      <c r="D16">
        <v>1</v>
      </c>
    </row>
    <row r="17" spans="1:4" x14ac:dyDescent="0.25">
      <c r="A17" s="1">
        <v>42092</v>
      </c>
      <c r="B17" t="s">
        <v>17</v>
      </c>
      <c r="C17">
        <v>26</v>
      </c>
      <c r="D17">
        <v>3</v>
      </c>
    </row>
    <row r="18" spans="1:4" x14ac:dyDescent="0.25">
      <c r="A18" s="1">
        <v>42088</v>
      </c>
      <c r="B18" t="s">
        <v>12</v>
      </c>
      <c r="C18">
        <v>26</v>
      </c>
      <c r="D18">
        <v>5</v>
      </c>
    </row>
    <row r="19" spans="1:4" x14ac:dyDescent="0.25">
      <c r="A19" s="1">
        <v>42034</v>
      </c>
      <c r="B19" t="s">
        <v>16</v>
      </c>
      <c r="C19">
        <v>1</v>
      </c>
      <c r="D19">
        <v>1</v>
      </c>
    </row>
    <row r="20" spans="1:4" x14ac:dyDescent="0.25">
      <c r="A20" s="1">
        <v>42141</v>
      </c>
      <c r="B20" t="s">
        <v>12</v>
      </c>
      <c r="C20">
        <v>39</v>
      </c>
      <c r="D20">
        <v>15</v>
      </c>
    </row>
    <row r="21" spans="1:4" x14ac:dyDescent="0.25">
      <c r="A21" s="1">
        <v>42082</v>
      </c>
      <c r="B21" t="s">
        <v>11</v>
      </c>
      <c r="C21">
        <v>36</v>
      </c>
      <c r="D21">
        <v>8</v>
      </c>
    </row>
    <row r="22" spans="1:4" x14ac:dyDescent="0.25">
      <c r="A22" s="1">
        <v>42012</v>
      </c>
      <c r="B22" t="s">
        <v>18</v>
      </c>
      <c r="C22">
        <v>12</v>
      </c>
      <c r="D22">
        <v>4</v>
      </c>
    </row>
    <row r="23" spans="1:4" x14ac:dyDescent="0.25">
      <c r="A23" s="1">
        <v>42034</v>
      </c>
      <c r="B23" t="s">
        <v>13</v>
      </c>
      <c r="C23">
        <v>15</v>
      </c>
      <c r="D23">
        <v>0</v>
      </c>
    </row>
    <row r="24" spans="1:4" x14ac:dyDescent="0.25">
      <c r="A24" s="1">
        <v>42065</v>
      </c>
      <c r="B24" t="s">
        <v>18</v>
      </c>
      <c r="C24">
        <v>23</v>
      </c>
      <c r="D24">
        <v>2</v>
      </c>
    </row>
    <row r="25" spans="1:4" x14ac:dyDescent="0.25">
      <c r="A25" s="1">
        <v>42011</v>
      </c>
      <c r="B25" t="s">
        <v>16</v>
      </c>
      <c r="C25">
        <v>43</v>
      </c>
      <c r="D25">
        <v>18</v>
      </c>
    </row>
    <row r="26" spans="1:4" x14ac:dyDescent="0.25">
      <c r="A26" s="1">
        <v>42019</v>
      </c>
      <c r="B26" t="s">
        <v>18</v>
      </c>
      <c r="C26">
        <v>26</v>
      </c>
      <c r="D26">
        <v>11</v>
      </c>
    </row>
    <row r="27" spans="1:4" x14ac:dyDescent="0.25">
      <c r="A27" s="1">
        <v>42005</v>
      </c>
      <c r="B27" t="s">
        <v>11</v>
      </c>
      <c r="C27">
        <v>36</v>
      </c>
      <c r="D27">
        <v>9</v>
      </c>
    </row>
    <row r="28" spans="1:4" x14ac:dyDescent="0.25">
      <c r="A28" s="1">
        <v>42118</v>
      </c>
      <c r="B28" t="s">
        <v>18</v>
      </c>
      <c r="C28">
        <v>19</v>
      </c>
      <c r="D28">
        <v>6</v>
      </c>
    </row>
    <row r="29" spans="1:4" x14ac:dyDescent="0.25">
      <c r="A29" s="1">
        <v>42149</v>
      </c>
      <c r="B29" t="s">
        <v>16</v>
      </c>
      <c r="C29">
        <v>5</v>
      </c>
      <c r="D29">
        <v>1</v>
      </c>
    </row>
    <row r="30" spans="1:4" x14ac:dyDescent="0.25">
      <c r="A30" s="1">
        <v>42089</v>
      </c>
      <c r="B30" t="s">
        <v>11</v>
      </c>
      <c r="C30">
        <v>18</v>
      </c>
      <c r="D30">
        <v>1</v>
      </c>
    </row>
    <row r="31" spans="1:4" x14ac:dyDescent="0.25">
      <c r="A31" s="1">
        <v>42093</v>
      </c>
      <c r="B31" t="s">
        <v>12</v>
      </c>
      <c r="C31">
        <v>29</v>
      </c>
      <c r="D31">
        <v>14</v>
      </c>
    </row>
    <row r="32" spans="1:4" x14ac:dyDescent="0.25">
      <c r="A32" s="1">
        <v>42145</v>
      </c>
      <c r="B32" t="s">
        <v>12</v>
      </c>
      <c r="C32">
        <v>20</v>
      </c>
      <c r="D32">
        <v>10</v>
      </c>
    </row>
    <row r="33" spans="1:4" x14ac:dyDescent="0.25">
      <c r="A33" s="1">
        <v>42051</v>
      </c>
      <c r="B33" t="s">
        <v>10</v>
      </c>
      <c r="C33">
        <v>38</v>
      </c>
      <c r="D33">
        <v>12</v>
      </c>
    </row>
    <row r="34" spans="1:4" x14ac:dyDescent="0.25">
      <c r="A34" s="1">
        <v>42019</v>
      </c>
      <c r="B34" t="s">
        <v>17</v>
      </c>
      <c r="C34">
        <v>5</v>
      </c>
      <c r="D34">
        <v>1</v>
      </c>
    </row>
    <row r="35" spans="1:4" x14ac:dyDescent="0.25">
      <c r="A35" s="1">
        <v>42088</v>
      </c>
      <c r="B35" t="s">
        <v>16</v>
      </c>
      <c r="C35">
        <v>36</v>
      </c>
      <c r="D35">
        <v>1</v>
      </c>
    </row>
    <row r="36" spans="1:4" x14ac:dyDescent="0.25">
      <c r="A36" s="1">
        <v>42139</v>
      </c>
      <c r="B36" t="s">
        <v>14</v>
      </c>
      <c r="C36">
        <v>18</v>
      </c>
      <c r="D36">
        <v>1</v>
      </c>
    </row>
    <row r="37" spans="1:4" x14ac:dyDescent="0.25">
      <c r="A37" s="1">
        <v>42091</v>
      </c>
      <c r="B37" t="s">
        <v>12</v>
      </c>
      <c r="C37">
        <v>24</v>
      </c>
      <c r="D37">
        <v>1</v>
      </c>
    </row>
    <row r="38" spans="1:4" x14ac:dyDescent="0.25">
      <c r="A38" s="1">
        <v>42095</v>
      </c>
      <c r="B38" t="s">
        <v>17</v>
      </c>
      <c r="C38">
        <v>14</v>
      </c>
      <c r="D38">
        <v>6</v>
      </c>
    </row>
    <row r="39" spans="1:4" x14ac:dyDescent="0.25">
      <c r="A39" s="1">
        <v>42130</v>
      </c>
      <c r="B39" t="s">
        <v>12</v>
      </c>
      <c r="C39">
        <v>26</v>
      </c>
      <c r="D39">
        <v>12</v>
      </c>
    </row>
    <row r="40" spans="1:4" x14ac:dyDescent="0.25">
      <c r="A40" s="1">
        <v>42119</v>
      </c>
      <c r="B40" t="s">
        <v>13</v>
      </c>
      <c r="C40">
        <v>5</v>
      </c>
      <c r="D40">
        <v>1</v>
      </c>
    </row>
    <row r="41" spans="1:4" x14ac:dyDescent="0.25">
      <c r="A41" s="1">
        <v>42113</v>
      </c>
      <c r="B41" t="s">
        <v>10</v>
      </c>
      <c r="C41">
        <v>4</v>
      </c>
      <c r="D41">
        <v>1</v>
      </c>
    </row>
    <row r="42" spans="1:4" x14ac:dyDescent="0.25">
      <c r="A42" s="1">
        <v>42130</v>
      </c>
      <c r="B42" t="s">
        <v>14</v>
      </c>
      <c r="C42">
        <v>28</v>
      </c>
      <c r="D42">
        <v>4</v>
      </c>
    </row>
    <row r="43" spans="1:4" x14ac:dyDescent="0.25">
      <c r="A43" s="1">
        <v>42030</v>
      </c>
      <c r="B43" t="s">
        <v>12</v>
      </c>
      <c r="C43">
        <v>10</v>
      </c>
      <c r="D43">
        <v>1</v>
      </c>
    </row>
    <row r="44" spans="1:4" x14ac:dyDescent="0.25">
      <c r="A44" s="1">
        <v>42074</v>
      </c>
      <c r="B44" t="s">
        <v>15</v>
      </c>
      <c r="C44">
        <v>29</v>
      </c>
      <c r="D44">
        <v>11</v>
      </c>
    </row>
    <row r="45" spans="1:4" x14ac:dyDescent="0.25">
      <c r="A45" s="1">
        <v>42054</v>
      </c>
      <c r="B45" t="s">
        <v>13</v>
      </c>
      <c r="C45">
        <v>49</v>
      </c>
      <c r="D45">
        <v>9</v>
      </c>
    </row>
    <row r="46" spans="1:4" x14ac:dyDescent="0.25">
      <c r="A46" s="1">
        <v>42026</v>
      </c>
      <c r="B46" t="s">
        <v>16</v>
      </c>
      <c r="C46">
        <v>41</v>
      </c>
      <c r="D46">
        <v>4</v>
      </c>
    </row>
    <row r="47" spans="1:4" x14ac:dyDescent="0.25">
      <c r="A47" s="1">
        <v>42082</v>
      </c>
      <c r="B47" t="s">
        <v>15</v>
      </c>
      <c r="C47">
        <v>22</v>
      </c>
      <c r="D47">
        <v>3</v>
      </c>
    </row>
    <row r="48" spans="1:4" x14ac:dyDescent="0.25">
      <c r="A48" s="1">
        <v>42106</v>
      </c>
      <c r="B48" t="s">
        <v>11</v>
      </c>
      <c r="C48">
        <v>27</v>
      </c>
      <c r="D48">
        <v>6</v>
      </c>
    </row>
    <row r="49" spans="1:4" x14ac:dyDescent="0.25">
      <c r="A49" s="1">
        <v>42081</v>
      </c>
      <c r="B49" t="s">
        <v>13</v>
      </c>
      <c r="C49">
        <v>26</v>
      </c>
      <c r="D49">
        <v>2</v>
      </c>
    </row>
    <row r="50" spans="1:4" x14ac:dyDescent="0.25">
      <c r="A50" s="1">
        <v>42125</v>
      </c>
      <c r="B50" t="s">
        <v>16</v>
      </c>
      <c r="C50">
        <v>17</v>
      </c>
      <c r="D50">
        <v>2</v>
      </c>
    </row>
    <row r="51" spans="1:4" x14ac:dyDescent="0.25">
      <c r="A51" s="1">
        <v>42084</v>
      </c>
      <c r="B51" t="s">
        <v>16</v>
      </c>
      <c r="C51">
        <v>16</v>
      </c>
      <c r="D51">
        <v>2</v>
      </c>
    </row>
    <row r="52" spans="1:4" x14ac:dyDescent="0.25">
      <c r="A52" s="1">
        <v>42026</v>
      </c>
      <c r="B52" t="s">
        <v>11</v>
      </c>
      <c r="C52">
        <v>13</v>
      </c>
      <c r="D52">
        <v>1</v>
      </c>
    </row>
    <row r="53" spans="1:4" x14ac:dyDescent="0.25">
      <c r="A53" s="1">
        <v>42019</v>
      </c>
      <c r="B53" t="s">
        <v>10</v>
      </c>
      <c r="C53">
        <v>27</v>
      </c>
      <c r="D53">
        <v>7</v>
      </c>
    </row>
    <row r="54" spans="1:4" x14ac:dyDescent="0.25">
      <c r="A54" s="1">
        <v>42073</v>
      </c>
      <c r="B54" t="s">
        <v>12</v>
      </c>
      <c r="C54">
        <v>48</v>
      </c>
      <c r="D54">
        <v>10</v>
      </c>
    </row>
    <row r="55" spans="1:4" x14ac:dyDescent="0.25">
      <c r="A55" s="1">
        <v>42130</v>
      </c>
      <c r="B55" t="s">
        <v>14</v>
      </c>
      <c r="C55">
        <v>18</v>
      </c>
      <c r="D55">
        <v>2</v>
      </c>
    </row>
    <row r="56" spans="1:4" x14ac:dyDescent="0.25">
      <c r="A56" s="1">
        <v>42100</v>
      </c>
      <c r="B56" t="s">
        <v>17</v>
      </c>
      <c r="C56">
        <v>22</v>
      </c>
      <c r="D56">
        <v>2</v>
      </c>
    </row>
    <row r="57" spans="1:4" x14ac:dyDescent="0.25">
      <c r="A57" s="1">
        <v>42090</v>
      </c>
      <c r="B57" t="s">
        <v>10</v>
      </c>
      <c r="C57">
        <v>25</v>
      </c>
      <c r="D57">
        <v>12</v>
      </c>
    </row>
    <row r="58" spans="1:4" x14ac:dyDescent="0.25">
      <c r="A58" s="1">
        <v>42113</v>
      </c>
      <c r="B58" t="s">
        <v>15</v>
      </c>
      <c r="C58">
        <v>49</v>
      </c>
      <c r="D58">
        <v>3</v>
      </c>
    </row>
    <row r="59" spans="1:4" x14ac:dyDescent="0.25">
      <c r="A59" s="1">
        <v>42115</v>
      </c>
      <c r="B59" t="s">
        <v>13</v>
      </c>
      <c r="C59">
        <v>5</v>
      </c>
      <c r="D59">
        <v>0</v>
      </c>
    </row>
    <row r="60" spans="1:4" x14ac:dyDescent="0.25">
      <c r="A60" s="1">
        <v>42044</v>
      </c>
      <c r="B60" t="s">
        <v>14</v>
      </c>
      <c r="C60">
        <v>10</v>
      </c>
      <c r="D60">
        <v>1</v>
      </c>
    </row>
    <row r="61" spans="1:4" x14ac:dyDescent="0.25">
      <c r="A61" s="1">
        <v>42129</v>
      </c>
      <c r="B61" t="s">
        <v>13</v>
      </c>
      <c r="C61">
        <v>15</v>
      </c>
      <c r="D61">
        <v>3</v>
      </c>
    </row>
    <row r="62" spans="1:4" x14ac:dyDescent="0.25">
      <c r="A62" s="1">
        <v>42067</v>
      </c>
      <c r="B62" t="s">
        <v>12</v>
      </c>
      <c r="C62">
        <v>22</v>
      </c>
      <c r="D62">
        <v>4</v>
      </c>
    </row>
    <row r="63" spans="1:4" x14ac:dyDescent="0.25">
      <c r="A63" s="1">
        <v>42042</v>
      </c>
      <c r="B63" t="s">
        <v>15</v>
      </c>
      <c r="C63">
        <v>15</v>
      </c>
      <c r="D63">
        <v>4</v>
      </c>
    </row>
    <row r="64" spans="1:4" x14ac:dyDescent="0.25">
      <c r="A64" s="1">
        <v>42005</v>
      </c>
      <c r="B64" t="s">
        <v>10</v>
      </c>
      <c r="C64">
        <v>49</v>
      </c>
      <c r="D64">
        <v>1</v>
      </c>
    </row>
    <row r="65" spans="1:4" x14ac:dyDescent="0.25">
      <c r="A65" s="1">
        <v>42060</v>
      </c>
      <c r="B65" t="s">
        <v>12</v>
      </c>
      <c r="C65">
        <v>1</v>
      </c>
      <c r="D65">
        <v>1</v>
      </c>
    </row>
    <row r="66" spans="1:4" x14ac:dyDescent="0.25">
      <c r="A66" s="1">
        <v>42146</v>
      </c>
      <c r="B66" t="s">
        <v>15</v>
      </c>
      <c r="C66">
        <v>24</v>
      </c>
      <c r="D66">
        <v>4</v>
      </c>
    </row>
    <row r="67" spans="1:4" x14ac:dyDescent="0.25">
      <c r="A67" s="1">
        <v>42114</v>
      </c>
      <c r="B67" t="s">
        <v>14</v>
      </c>
      <c r="C67">
        <v>16</v>
      </c>
      <c r="D67">
        <v>3</v>
      </c>
    </row>
    <row r="68" spans="1:4" x14ac:dyDescent="0.25">
      <c r="A68" s="1">
        <v>42048</v>
      </c>
      <c r="B68" t="s">
        <v>18</v>
      </c>
      <c r="C68">
        <v>8</v>
      </c>
      <c r="D68">
        <v>4</v>
      </c>
    </row>
    <row r="69" spans="1:4" x14ac:dyDescent="0.25">
      <c r="A69" s="1">
        <v>42020</v>
      </c>
      <c r="B69" t="s">
        <v>12</v>
      </c>
      <c r="C69">
        <v>11</v>
      </c>
      <c r="D69">
        <v>4</v>
      </c>
    </row>
    <row r="70" spans="1:4" x14ac:dyDescent="0.25">
      <c r="A70" s="1">
        <v>42147</v>
      </c>
      <c r="B70" t="s">
        <v>15</v>
      </c>
      <c r="C70">
        <v>19</v>
      </c>
      <c r="D70">
        <v>4</v>
      </c>
    </row>
    <row r="71" spans="1:4" x14ac:dyDescent="0.25">
      <c r="A71" s="1">
        <v>42127</v>
      </c>
      <c r="B71" t="s">
        <v>15</v>
      </c>
      <c r="C71">
        <v>45</v>
      </c>
      <c r="D71">
        <v>10</v>
      </c>
    </row>
    <row r="72" spans="1:4" x14ac:dyDescent="0.25">
      <c r="A72" s="1">
        <v>42132</v>
      </c>
      <c r="B72" t="s">
        <v>18</v>
      </c>
      <c r="C72">
        <v>5</v>
      </c>
      <c r="D72">
        <v>2</v>
      </c>
    </row>
    <row r="73" spans="1:4" x14ac:dyDescent="0.25">
      <c r="A73" s="1">
        <v>42133</v>
      </c>
      <c r="B73" t="s">
        <v>10</v>
      </c>
      <c r="C73">
        <v>38</v>
      </c>
      <c r="D73">
        <v>8</v>
      </c>
    </row>
    <row r="74" spans="1:4" x14ac:dyDescent="0.25">
      <c r="A74" s="1">
        <v>42112</v>
      </c>
      <c r="B74" t="s">
        <v>11</v>
      </c>
      <c r="C74">
        <v>48</v>
      </c>
      <c r="D74">
        <v>2</v>
      </c>
    </row>
    <row r="75" spans="1:4" x14ac:dyDescent="0.25">
      <c r="A75" s="1">
        <v>42020</v>
      </c>
      <c r="B75" t="s">
        <v>17</v>
      </c>
      <c r="C75">
        <v>46</v>
      </c>
      <c r="D75">
        <v>20</v>
      </c>
    </row>
    <row r="76" spans="1:4" x14ac:dyDescent="0.25">
      <c r="A76" s="1">
        <v>42046</v>
      </c>
      <c r="B76" t="s">
        <v>12</v>
      </c>
      <c r="C76">
        <v>22</v>
      </c>
      <c r="D76">
        <v>5</v>
      </c>
    </row>
    <row r="77" spans="1:4" x14ac:dyDescent="0.25">
      <c r="A77" s="1">
        <v>42136</v>
      </c>
      <c r="B77" t="s">
        <v>15</v>
      </c>
      <c r="C77">
        <v>6</v>
      </c>
      <c r="D77">
        <v>1</v>
      </c>
    </row>
    <row r="78" spans="1:4" x14ac:dyDescent="0.25">
      <c r="A78" s="1">
        <v>42086</v>
      </c>
      <c r="B78" t="s">
        <v>13</v>
      </c>
      <c r="C78">
        <v>39</v>
      </c>
      <c r="D78">
        <v>9</v>
      </c>
    </row>
    <row r="79" spans="1:4" x14ac:dyDescent="0.25">
      <c r="A79" s="1">
        <v>42120</v>
      </c>
      <c r="B79" t="s">
        <v>12</v>
      </c>
      <c r="C79">
        <v>23</v>
      </c>
      <c r="D79">
        <v>0</v>
      </c>
    </row>
    <row r="80" spans="1:4" x14ac:dyDescent="0.25">
      <c r="A80" s="1">
        <v>42123</v>
      </c>
      <c r="B80" t="s">
        <v>17</v>
      </c>
      <c r="C80">
        <v>3</v>
      </c>
      <c r="D80">
        <v>0</v>
      </c>
    </row>
    <row r="81" spans="1:4" x14ac:dyDescent="0.25">
      <c r="A81" s="1">
        <v>42085</v>
      </c>
      <c r="B81" t="s">
        <v>16</v>
      </c>
      <c r="C81">
        <v>44</v>
      </c>
      <c r="D81">
        <v>8</v>
      </c>
    </row>
    <row r="82" spans="1:4" x14ac:dyDescent="0.25">
      <c r="A82" s="1">
        <v>42143</v>
      </c>
      <c r="B82" t="s">
        <v>12</v>
      </c>
      <c r="C82">
        <v>49</v>
      </c>
      <c r="D82">
        <v>16</v>
      </c>
    </row>
    <row r="83" spans="1:4" x14ac:dyDescent="0.25">
      <c r="A83" s="1">
        <v>42047</v>
      </c>
      <c r="B83" t="s">
        <v>17</v>
      </c>
      <c r="C83">
        <v>29</v>
      </c>
      <c r="D83">
        <v>8</v>
      </c>
    </row>
    <row r="84" spans="1:4" x14ac:dyDescent="0.25">
      <c r="A84" s="1">
        <v>42066</v>
      </c>
      <c r="B84" t="s">
        <v>10</v>
      </c>
      <c r="C84">
        <v>7</v>
      </c>
      <c r="D84">
        <v>1</v>
      </c>
    </row>
    <row r="85" spans="1:4" x14ac:dyDescent="0.25">
      <c r="A85" s="1">
        <v>42006</v>
      </c>
      <c r="B85" t="s">
        <v>13</v>
      </c>
      <c r="C85">
        <v>7</v>
      </c>
      <c r="D85">
        <v>2</v>
      </c>
    </row>
    <row r="86" spans="1:4" x14ac:dyDescent="0.25">
      <c r="A86" s="1">
        <v>42147</v>
      </c>
      <c r="B86" t="s">
        <v>12</v>
      </c>
      <c r="C86">
        <v>26</v>
      </c>
      <c r="D86">
        <v>6</v>
      </c>
    </row>
    <row r="87" spans="1:4" x14ac:dyDescent="0.25">
      <c r="A87" s="1">
        <v>42114</v>
      </c>
      <c r="B87" t="s">
        <v>16</v>
      </c>
      <c r="C87">
        <v>28</v>
      </c>
      <c r="D87">
        <v>4</v>
      </c>
    </row>
    <row r="88" spans="1:4" x14ac:dyDescent="0.25">
      <c r="A88" s="1">
        <v>42008</v>
      </c>
      <c r="B88" t="s">
        <v>16</v>
      </c>
      <c r="C88">
        <v>7</v>
      </c>
      <c r="D88">
        <v>1</v>
      </c>
    </row>
    <row r="89" spans="1:4" x14ac:dyDescent="0.25">
      <c r="A89" s="1">
        <v>42013</v>
      </c>
      <c r="B89" t="s">
        <v>16</v>
      </c>
      <c r="C89">
        <v>32</v>
      </c>
      <c r="D89">
        <v>2</v>
      </c>
    </row>
    <row r="90" spans="1:4" x14ac:dyDescent="0.25">
      <c r="A90" s="1">
        <v>42032</v>
      </c>
      <c r="B90" t="s">
        <v>15</v>
      </c>
      <c r="C90">
        <v>4</v>
      </c>
      <c r="D90">
        <v>1</v>
      </c>
    </row>
    <row r="91" spans="1:4" x14ac:dyDescent="0.25">
      <c r="A91" s="1">
        <v>42021</v>
      </c>
      <c r="B91" t="s">
        <v>16</v>
      </c>
      <c r="C91">
        <v>28</v>
      </c>
      <c r="D91">
        <v>0</v>
      </c>
    </row>
    <row r="92" spans="1:4" x14ac:dyDescent="0.25">
      <c r="A92" s="1">
        <v>42016</v>
      </c>
      <c r="B92" t="s">
        <v>13</v>
      </c>
      <c r="C92">
        <v>9</v>
      </c>
      <c r="D92">
        <v>0</v>
      </c>
    </row>
    <row r="93" spans="1:4" x14ac:dyDescent="0.25">
      <c r="A93" s="1">
        <v>42154</v>
      </c>
      <c r="B93" t="s">
        <v>14</v>
      </c>
      <c r="C93">
        <v>38</v>
      </c>
      <c r="D93">
        <v>3</v>
      </c>
    </row>
    <row r="94" spans="1:4" x14ac:dyDescent="0.25">
      <c r="A94" s="1">
        <v>42118</v>
      </c>
      <c r="B94" t="s">
        <v>10</v>
      </c>
      <c r="C94">
        <v>44</v>
      </c>
      <c r="D94">
        <v>14</v>
      </c>
    </row>
    <row r="95" spans="1:4" x14ac:dyDescent="0.25">
      <c r="A95" s="1">
        <v>42067</v>
      </c>
      <c r="B95" t="s">
        <v>10</v>
      </c>
      <c r="C95">
        <v>4</v>
      </c>
      <c r="D95">
        <v>2</v>
      </c>
    </row>
    <row r="96" spans="1:4" x14ac:dyDescent="0.25">
      <c r="A96" s="1">
        <v>42133</v>
      </c>
      <c r="B96" t="s">
        <v>10</v>
      </c>
      <c r="C96">
        <v>34</v>
      </c>
      <c r="D96">
        <v>2</v>
      </c>
    </row>
    <row r="97" spans="1:4" x14ac:dyDescent="0.25">
      <c r="A97" s="1">
        <v>42043</v>
      </c>
      <c r="B97" t="s">
        <v>13</v>
      </c>
      <c r="C97">
        <v>8</v>
      </c>
      <c r="D97">
        <v>1</v>
      </c>
    </row>
    <row r="98" spans="1:4" x14ac:dyDescent="0.25">
      <c r="A98" s="1">
        <v>42073</v>
      </c>
      <c r="B98" t="s">
        <v>17</v>
      </c>
      <c r="C98">
        <v>16</v>
      </c>
      <c r="D98">
        <v>3</v>
      </c>
    </row>
    <row r="99" spans="1:4" x14ac:dyDescent="0.25">
      <c r="A99" s="1">
        <v>42142</v>
      </c>
      <c r="B99" t="s">
        <v>17</v>
      </c>
      <c r="C99">
        <v>50</v>
      </c>
      <c r="D99">
        <v>24</v>
      </c>
    </row>
    <row r="100" spans="1:4" x14ac:dyDescent="0.25">
      <c r="A100" s="1">
        <v>42058</v>
      </c>
      <c r="B100" t="s">
        <v>12</v>
      </c>
      <c r="C100">
        <v>37</v>
      </c>
      <c r="D100">
        <v>14</v>
      </c>
    </row>
    <row r="101" spans="1:4" x14ac:dyDescent="0.25">
      <c r="A101" s="1">
        <v>42124</v>
      </c>
      <c r="B101" t="s">
        <v>11</v>
      </c>
      <c r="C101">
        <v>28</v>
      </c>
      <c r="D101">
        <v>14</v>
      </c>
    </row>
    <row r="102" spans="1:4" x14ac:dyDescent="0.25">
      <c r="A102" s="1">
        <v>42083</v>
      </c>
      <c r="B102" t="s">
        <v>13</v>
      </c>
      <c r="C102">
        <v>18</v>
      </c>
      <c r="D102">
        <v>3</v>
      </c>
    </row>
    <row r="103" spans="1:4" x14ac:dyDescent="0.25">
      <c r="A103" s="1">
        <v>42135</v>
      </c>
      <c r="B103" t="s">
        <v>10</v>
      </c>
      <c r="C103">
        <v>39</v>
      </c>
      <c r="D103">
        <v>4</v>
      </c>
    </row>
    <row r="104" spans="1:4" x14ac:dyDescent="0.25">
      <c r="A104" s="1">
        <v>42107</v>
      </c>
      <c r="B104" t="s">
        <v>17</v>
      </c>
      <c r="C104">
        <v>37</v>
      </c>
      <c r="D104">
        <v>2</v>
      </c>
    </row>
    <row r="105" spans="1:4" x14ac:dyDescent="0.25">
      <c r="A105" s="1">
        <v>42075</v>
      </c>
      <c r="B105" t="s">
        <v>13</v>
      </c>
      <c r="C105">
        <v>34</v>
      </c>
      <c r="D105">
        <v>3</v>
      </c>
    </row>
    <row r="106" spans="1:4" x14ac:dyDescent="0.25">
      <c r="A106" s="1">
        <v>42030</v>
      </c>
      <c r="B106" t="s">
        <v>18</v>
      </c>
      <c r="C106">
        <v>1</v>
      </c>
      <c r="D106">
        <v>1</v>
      </c>
    </row>
    <row r="107" spans="1:4" x14ac:dyDescent="0.25">
      <c r="A107" s="1">
        <v>42081</v>
      </c>
      <c r="B107" t="s">
        <v>17</v>
      </c>
      <c r="C107">
        <v>7</v>
      </c>
      <c r="D107">
        <v>1</v>
      </c>
    </row>
    <row r="108" spans="1:4" x14ac:dyDescent="0.25">
      <c r="A108" s="1">
        <v>42059</v>
      </c>
      <c r="B108" t="s">
        <v>10</v>
      </c>
      <c r="C108">
        <v>18</v>
      </c>
      <c r="D108">
        <v>3</v>
      </c>
    </row>
    <row r="109" spans="1:4" x14ac:dyDescent="0.25">
      <c r="A109" s="1">
        <v>42126</v>
      </c>
      <c r="B109" t="s">
        <v>11</v>
      </c>
      <c r="C109">
        <v>40</v>
      </c>
      <c r="D109">
        <v>7</v>
      </c>
    </row>
    <row r="110" spans="1:4" x14ac:dyDescent="0.25">
      <c r="A110" s="1">
        <v>42154</v>
      </c>
      <c r="B110" t="s">
        <v>15</v>
      </c>
      <c r="C110">
        <v>4</v>
      </c>
      <c r="D110">
        <v>1</v>
      </c>
    </row>
    <row r="111" spans="1:4" x14ac:dyDescent="0.25">
      <c r="A111" s="1">
        <v>42149</v>
      </c>
      <c r="B111" t="s">
        <v>11</v>
      </c>
      <c r="C111">
        <v>48</v>
      </c>
      <c r="D111">
        <v>1</v>
      </c>
    </row>
    <row r="112" spans="1:4" x14ac:dyDescent="0.25">
      <c r="A112" s="1">
        <v>42010</v>
      </c>
      <c r="B112" t="s">
        <v>18</v>
      </c>
      <c r="C112">
        <v>23</v>
      </c>
      <c r="D112">
        <v>6</v>
      </c>
    </row>
    <row r="113" spans="1:4" x14ac:dyDescent="0.25">
      <c r="A113" s="1">
        <v>42048</v>
      </c>
      <c r="B113" t="s">
        <v>16</v>
      </c>
      <c r="C113">
        <v>28</v>
      </c>
      <c r="D113">
        <v>5</v>
      </c>
    </row>
    <row r="114" spans="1:4" x14ac:dyDescent="0.25">
      <c r="A114" s="1">
        <v>42118</v>
      </c>
      <c r="B114" t="s">
        <v>10</v>
      </c>
      <c r="C114">
        <v>19</v>
      </c>
      <c r="D114">
        <v>5</v>
      </c>
    </row>
    <row r="115" spans="1:4" x14ac:dyDescent="0.25">
      <c r="A115" s="1">
        <v>42098</v>
      </c>
      <c r="B115" t="s">
        <v>16</v>
      </c>
      <c r="C115">
        <v>48</v>
      </c>
      <c r="D115">
        <v>4</v>
      </c>
    </row>
    <row r="116" spans="1:4" x14ac:dyDescent="0.25">
      <c r="A116" s="1">
        <v>42090</v>
      </c>
      <c r="B116" t="s">
        <v>13</v>
      </c>
      <c r="C116">
        <v>38</v>
      </c>
      <c r="D116">
        <v>12</v>
      </c>
    </row>
    <row r="117" spans="1:4" x14ac:dyDescent="0.25">
      <c r="A117" s="1">
        <v>42055</v>
      </c>
      <c r="B117" t="s">
        <v>17</v>
      </c>
      <c r="C117">
        <v>13</v>
      </c>
      <c r="D117">
        <v>1</v>
      </c>
    </row>
    <row r="118" spans="1:4" x14ac:dyDescent="0.25">
      <c r="A118" s="1">
        <v>42104</v>
      </c>
      <c r="B118" t="s">
        <v>18</v>
      </c>
      <c r="C118">
        <v>21</v>
      </c>
      <c r="D118">
        <v>1</v>
      </c>
    </row>
    <row r="119" spans="1:4" x14ac:dyDescent="0.25">
      <c r="A119" s="1">
        <v>42050</v>
      </c>
      <c r="B119" t="s">
        <v>13</v>
      </c>
      <c r="C119">
        <v>47</v>
      </c>
      <c r="D119">
        <v>13</v>
      </c>
    </row>
    <row r="120" spans="1:4" x14ac:dyDescent="0.25">
      <c r="A120" s="1">
        <v>42113</v>
      </c>
      <c r="B120" t="s">
        <v>18</v>
      </c>
      <c r="C120">
        <v>43</v>
      </c>
      <c r="D120">
        <v>1</v>
      </c>
    </row>
    <row r="121" spans="1:4" x14ac:dyDescent="0.25">
      <c r="A121" s="1">
        <v>42107</v>
      </c>
      <c r="B121" t="s">
        <v>14</v>
      </c>
      <c r="C121">
        <v>44</v>
      </c>
      <c r="D121">
        <v>1</v>
      </c>
    </row>
    <row r="122" spans="1:4" x14ac:dyDescent="0.25">
      <c r="A122" s="1">
        <v>42027</v>
      </c>
      <c r="B122" t="s">
        <v>17</v>
      </c>
      <c r="C122">
        <v>14</v>
      </c>
      <c r="D122">
        <v>2</v>
      </c>
    </row>
    <row r="123" spans="1:4" x14ac:dyDescent="0.25">
      <c r="A123" s="1">
        <v>42127</v>
      </c>
      <c r="B123" t="s">
        <v>14</v>
      </c>
      <c r="C123">
        <v>9</v>
      </c>
      <c r="D123">
        <v>4</v>
      </c>
    </row>
    <row r="124" spans="1:4" x14ac:dyDescent="0.25">
      <c r="A124" s="1">
        <v>42021</v>
      </c>
      <c r="B124" t="s">
        <v>17</v>
      </c>
      <c r="C124">
        <v>2</v>
      </c>
      <c r="D124">
        <v>0</v>
      </c>
    </row>
    <row r="125" spans="1:4" x14ac:dyDescent="0.25">
      <c r="A125" s="1">
        <v>42096</v>
      </c>
      <c r="B125" t="s">
        <v>13</v>
      </c>
      <c r="C125">
        <v>36</v>
      </c>
      <c r="D125">
        <v>15</v>
      </c>
    </row>
    <row r="126" spans="1:4" x14ac:dyDescent="0.25">
      <c r="A126" s="1">
        <v>42147</v>
      </c>
      <c r="B126" t="s">
        <v>14</v>
      </c>
      <c r="C126">
        <v>35</v>
      </c>
      <c r="D126">
        <v>4</v>
      </c>
    </row>
    <row r="127" spans="1:4" x14ac:dyDescent="0.25">
      <c r="A127" s="1">
        <v>42089</v>
      </c>
      <c r="B127" t="s">
        <v>15</v>
      </c>
      <c r="C127">
        <v>2</v>
      </c>
      <c r="D127">
        <v>1</v>
      </c>
    </row>
    <row r="128" spans="1:4" x14ac:dyDescent="0.25">
      <c r="A128" s="1">
        <v>42096</v>
      </c>
      <c r="B128" t="s">
        <v>11</v>
      </c>
      <c r="C128">
        <v>34</v>
      </c>
      <c r="D128">
        <v>3</v>
      </c>
    </row>
    <row r="129" spans="1:4" x14ac:dyDescent="0.25">
      <c r="A129" s="1">
        <v>42147</v>
      </c>
      <c r="B129" t="s">
        <v>12</v>
      </c>
      <c r="C129">
        <v>25</v>
      </c>
      <c r="D129">
        <v>1</v>
      </c>
    </row>
    <row r="130" spans="1:4" x14ac:dyDescent="0.25">
      <c r="A130" s="1">
        <v>42135</v>
      </c>
      <c r="B130" t="s">
        <v>11</v>
      </c>
      <c r="C130">
        <v>28</v>
      </c>
      <c r="D130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"/>
  <sheetViews>
    <sheetView zoomScaleNormal="100" workbookViewId="0">
      <selection activeCell="M11" sqref="M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workbookViewId="0"/>
  </sheetViews>
  <sheetFormatPr defaultRowHeight="15" x14ac:dyDescent="0.25"/>
  <sheetData>
    <row r="1" spans="1:3" x14ac:dyDescent="0.25">
      <c r="A1" t="s">
        <v>2</v>
      </c>
      <c r="B1" t="s">
        <v>0</v>
      </c>
      <c r="C1" t="s">
        <v>1</v>
      </c>
    </row>
    <row r="2" spans="1:3" x14ac:dyDescent="0.25">
      <c r="A2" t="s">
        <v>10</v>
      </c>
      <c r="B2">
        <v>4.9740000000000002</v>
      </c>
      <c r="C2">
        <v>-1.349</v>
      </c>
    </row>
    <row r="3" spans="1:3" x14ac:dyDescent="0.25">
      <c r="A3" t="s">
        <v>11</v>
      </c>
      <c r="B3">
        <v>12.885</v>
      </c>
      <c r="C3">
        <v>-2.6720000000000002</v>
      </c>
    </row>
    <row r="4" spans="1:3" x14ac:dyDescent="0.25">
      <c r="A4" t="s">
        <v>12</v>
      </c>
      <c r="B4">
        <v>5.7409999999999997</v>
      </c>
      <c r="C4">
        <v>-9.7629999999999999</v>
      </c>
    </row>
    <row r="5" spans="1:3" x14ac:dyDescent="0.25">
      <c r="A5" t="s">
        <v>13</v>
      </c>
      <c r="B5">
        <v>2.1960000000000002</v>
      </c>
      <c r="C5">
        <v>-3.2810000000000001</v>
      </c>
    </row>
    <row r="6" spans="1:3" x14ac:dyDescent="0.25">
      <c r="A6" t="s">
        <v>14</v>
      </c>
      <c r="B6">
        <v>17.251000000000001</v>
      </c>
      <c r="C6">
        <v>-4.1539999999999999</v>
      </c>
    </row>
    <row r="7" spans="1:3" x14ac:dyDescent="0.25">
      <c r="A7" t="s">
        <v>15</v>
      </c>
      <c r="B7">
        <v>12.065</v>
      </c>
      <c r="C7">
        <v>-5.133</v>
      </c>
    </row>
    <row r="8" spans="1:3" x14ac:dyDescent="0.25">
      <c r="A8" t="s">
        <v>16</v>
      </c>
      <c r="B8">
        <v>12.065</v>
      </c>
      <c r="C8">
        <v>-8.07</v>
      </c>
    </row>
    <row r="9" spans="1:3" x14ac:dyDescent="0.25">
      <c r="A9" t="s">
        <v>17</v>
      </c>
      <c r="B9">
        <v>0.66100000000000003</v>
      </c>
      <c r="C9">
        <v>-1.244</v>
      </c>
    </row>
    <row r="10" spans="1:3" x14ac:dyDescent="0.25">
      <c r="A10" t="s">
        <v>18</v>
      </c>
      <c r="B10">
        <v>8.07</v>
      </c>
      <c r="C10">
        <v>-2.2490000000000001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6"/>
  <sheetViews>
    <sheetView showGridLines="0" showRowColHeaders="0" zoomScale="110" zoomScaleNormal="110" workbookViewId="0">
      <selection activeCell="A20" sqref="A20"/>
    </sheetView>
  </sheetViews>
  <sheetFormatPr defaultRowHeight="15" x14ac:dyDescent="0.25"/>
  <cols>
    <col min="3" max="7" width="15.7109375" customWidth="1"/>
  </cols>
  <sheetData>
    <row r="2" spans="2:7" ht="21" x14ac:dyDescent="0.35">
      <c r="B2" s="18" t="str">
        <f>"Theropod Bones Found by Dig Site - "&amp;TEXT(D4,"d/m/y")&amp;" to "&amp;TEXT(D5,"d/m/y")</f>
        <v>Theropod Bones Found by Dig Site - 1/1/15 to 1/2/15</v>
      </c>
    </row>
    <row r="4" spans="2:7" x14ac:dyDescent="0.25">
      <c r="C4" s="4" t="s">
        <v>4</v>
      </c>
      <c r="D4" s="5">
        <v>42005</v>
      </c>
    </row>
    <row r="5" spans="2:7" x14ac:dyDescent="0.25">
      <c r="C5" s="2" t="s">
        <v>5</v>
      </c>
      <c r="D5" s="3">
        <v>42036</v>
      </c>
    </row>
    <row r="7" spans="2:7" x14ac:dyDescent="0.25">
      <c r="C7" s="6" t="s">
        <v>2</v>
      </c>
      <c r="D7" s="7" t="s">
        <v>6</v>
      </c>
      <c r="E7" s="7" t="s">
        <v>7</v>
      </c>
      <c r="F7" s="12" t="s">
        <v>8</v>
      </c>
      <c r="G7" s="13" t="s">
        <v>9</v>
      </c>
    </row>
    <row r="8" spans="2:7" x14ac:dyDescent="0.25">
      <c r="C8" s="8" t="s">
        <v>10</v>
      </c>
      <c r="D8" s="9">
        <f>SUMIFS(db!$C:$C,db!$A:$A,"&gt;="&amp;$D$4,db!$A:$A,"&lt;="&amp;$D$5,db!$B:$B,$C8)</f>
        <v>76</v>
      </c>
      <c r="E8" s="9">
        <f>SUMIFS(db!$D:$D,db!$A:$A,"&gt;="&amp;$D$4,db!$A:$A,"&lt;="&amp;$D$5,db!$B:$B,$C8)</f>
        <v>8</v>
      </c>
      <c r="F8" s="14">
        <f>INDEX(co!$B$2:$B$10,MATCH($C8,co!$A$2:$A$10,0))</f>
        <v>4.9740000000000002</v>
      </c>
      <c r="G8" s="15">
        <f>INDEX(co!$C$2:$C$10,MATCH($C8,co!$A$2:$A$10,0))</f>
        <v>-1.349</v>
      </c>
    </row>
    <row r="9" spans="2:7" x14ac:dyDescent="0.25">
      <c r="C9" s="10" t="s">
        <v>11</v>
      </c>
      <c r="D9" s="11">
        <f>SUMIFS(db!$C:$C,db!$A:$A,"&gt;="&amp;$D$4,db!$A:$A,"&lt;="&amp;$D$5,db!$B:$B,$C9)</f>
        <v>51</v>
      </c>
      <c r="E9" s="11">
        <f>SUMIFS(db!$D:$D,db!$A:$A,"&gt;="&amp;$D$4,db!$A:$A,"&lt;="&amp;$D$5,db!$B:$B,$C9)</f>
        <v>11</v>
      </c>
      <c r="F9" s="16">
        <f>INDEX(co!$B$2:$B$10,MATCH($C9,co!$A$2:$A$10,0))</f>
        <v>12.885</v>
      </c>
      <c r="G9" s="17">
        <f>INDEX(co!$C$2:$C$10,MATCH($C9,co!$A$2:$A$10,0))</f>
        <v>-2.6720000000000002</v>
      </c>
    </row>
    <row r="10" spans="2:7" x14ac:dyDescent="0.25">
      <c r="C10" s="8" t="s">
        <v>12</v>
      </c>
      <c r="D10" s="9">
        <f>SUMIFS(db!$C:$C,db!$A:$A,"&gt;="&amp;$D$4,db!$A:$A,"&lt;="&amp;$D$5,db!$B:$B,$C10)</f>
        <v>21</v>
      </c>
      <c r="E10" s="9">
        <f>SUMIFS(db!$D:$D,db!$A:$A,"&gt;="&amp;$D$4,db!$A:$A,"&lt;="&amp;$D$5,db!$B:$B,$C10)</f>
        <v>5</v>
      </c>
      <c r="F10" s="14">
        <f>INDEX(co!$B$2:$B$10,MATCH($C10,co!$A$2:$A$10,0))</f>
        <v>5.7409999999999997</v>
      </c>
      <c r="G10" s="15">
        <f>INDEX(co!$C$2:$C$10,MATCH($C10,co!$A$2:$A$10,0))</f>
        <v>-9.7629999999999999</v>
      </c>
    </row>
    <row r="11" spans="2:7" x14ac:dyDescent="0.25">
      <c r="C11" s="10" t="s">
        <v>13</v>
      </c>
      <c r="D11" s="11">
        <f>SUMIFS(db!$C:$C,db!$A:$A,"&gt;="&amp;$D$4,db!$A:$A,"&lt;="&amp;$D$5,db!$B:$B,$C11)</f>
        <v>55</v>
      </c>
      <c r="E11" s="11">
        <f>SUMIFS(db!$D:$D,db!$A:$A,"&gt;="&amp;$D$4,db!$A:$A,"&lt;="&amp;$D$5,db!$B:$B,$C11)</f>
        <v>11</v>
      </c>
      <c r="F11" s="16">
        <f>INDEX(co!$B$2:$B$10,MATCH($C11,co!$A$2:$A$10,0))</f>
        <v>2.1960000000000002</v>
      </c>
      <c r="G11" s="17">
        <f>INDEX(co!$C$2:$C$10,MATCH($C11,co!$A$2:$A$10,0))</f>
        <v>-3.2810000000000001</v>
      </c>
    </row>
    <row r="12" spans="2:7" x14ac:dyDescent="0.25">
      <c r="C12" s="8" t="s">
        <v>14</v>
      </c>
      <c r="D12" s="9">
        <f>SUMIFS(db!$C:$C,db!$A:$A,"&gt;="&amp;$D$4,db!$A:$A,"&lt;="&amp;$D$5,db!$B:$B,$C12)</f>
        <v>35</v>
      </c>
      <c r="E12" s="9">
        <f>SUMIFS(db!$D:$D,db!$A:$A,"&gt;="&amp;$D$4,db!$A:$A,"&lt;="&amp;$D$5,db!$B:$B,$C12)</f>
        <v>6</v>
      </c>
      <c r="F12" s="14">
        <f>INDEX(co!$B$2:$B$10,MATCH($C12,co!$A$2:$A$10,0))</f>
        <v>17.251000000000001</v>
      </c>
      <c r="G12" s="15">
        <f>INDEX(co!$C$2:$C$10,MATCH($C12,co!$A$2:$A$10,0))</f>
        <v>-4.1539999999999999</v>
      </c>
    </row>
    <row r="13" spans="2:7" x14ac:dyDescent="0.25">
      <c r="C13" s="10" t="s">
        <v>15</v>
      </c>
      <c r="D13" s="11">
        <f>SUMIFS(db!$C:$C,db!$A:$A,"&gt;="&amp;$D$4,db!$A:$A,"&lt;="&amp;$D$5,db!$B:$B,$C13)</f>
        <v>4</v>
      </c>
      <c r="E13" s="11">
        <f>SUMIFS(db!$D:$D,db!$A:$A,"&gt;="&amp;$D$4,db!$A:$A,"&lt;="&amp;$D$5,db!$B:$B,$C13)</f>
        <v>1</v>
      </c>
      <c r="F13" s="16">
        <f>INDEX(co!$B$2:$B$10,MATCH($C13,co!$A$2:$A$10,0))</f>
        <v>12.065</v>
      </c>
      <c r="G13" s="17">
        <f>INDEX(co!$C$2:$C$10,MATCH($C13,co!$A$2:$A$10,0))</f>
        <v>-5.133</v>
      </c>
    </row>
    <row r="14" spans="2:7" x14ac:dyDescent="0.25">
      <c r="C14" s="8" t="s">
        <v>16</v>
      </c>
      <c r="D14" s="9">
        <f>SUMIFS(db!$C:$C,db!$A:$A,"&gt;="&amp;$D$4,db!$A:$A,"&lt;="&amp;$D$5,db!$B:$B,$C14)</f>
        <v>152</v>
      </c>
      <c r="E14" s="9">
        <f>SUMIFS(db!$D:$D,db!$A:$A,"&gt;="&amp;$D$4,db!$A:$A,"&lt;="&amp;$D$5,db!$B:$B,$C14)</f>
        <v>26</v>
      </c>
      <c r="F14" s="14">
        <f>INDEX(co!$B$2:$B$10,MATCH($C14,co!$A$2:$A$10,0))</f>
        <v>12.065</v>
      </c>
      <c r="G14" s="15">
        <f>INDEX(co!$C$2:$C$10,MATCH($C14,co!$A$2:$A$10,0))</f>
        <v>-8.07</v>
      </c>
    </row>
    <row r="15" spans="2:7" x14ac:dyDescent="0.25">
      <c r="C15" s="10" t="s">
        <v>17</v>
      </c>
      <c r="D15" s="11">
        <f>SUMIFS(db!$C:$C,db!$A:$A,"&gt;="&amp;$D$4,db!$A:$A,"&lt;="&amp;$D$5,db!$B:$B,$C15)</f>
        <v>67</v>
      </c>
      <c r="E15" s="11">
        <f>SUMIFS(db!$D:$D,db!$A:$A,"&gt;="&amp;$D$4,db!$A:$A,"&lt;="&amp;$D$5,db!$B:$B,$C15)</f>
        <v>23</v>
      </c>
      <c r="F15" s="16">
        <f>INDEX(co!$B$2:$B$10,MATCH($C15,co!$A$2:$A$10,0))</f>
        <v>0.66100000000000003</v>
      </c>
      <c r="G15" s="17">
        <f>INDEX(co!$C$2:$C$10,MATCH($C15,co!$A$2:$A$10,0))</f>
        <v>-1.244</v>
      </c>
    </row>
    <row r="16" spans="2:7" x14ac:dyDescent="0.25">
      <c r="C16" s="8" t="s">
        <v>18</v>
      </c>
      <c r="D16" s="9">
        <f>SUMIFS(db!$C:$C,db!$A:$A,"&gt;="&amp;$D$4,db!$A:$A,"&lt;="&amp;$D$5,db!$B:$B,$C16)</f>
        <v>62</v>
      </c>
      <c r="E16" s="9">
        <f>SUMIFS(db!$D:$D,db!$A:$A,"&gt;="&amp;$D$4,db!$A:$A,"&lt;="&amp;$D$5,db!$B:$B,$C16)</f>
        <v>22</v>
      </c>
      <c r="F16" s="14">
        <f>INDEX(co!$B$2:$B$10,MATCH($C16,co!$A$2:$A$10,0))</f>
        <v>8.07</v>
      </c>
      <c r="G16" s="15">
        <f>INDEX(co!$C$2:$C$10,MATCH($C16,co!$A$2:$A$10,0))</f>
        <v>-2.2490000000000001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db</vt:lpstr>
      <vt:lpstr>setup</vt:lpstr>
      <vt:lpstr>co</vt:lpstr>
      <vt:lpstr>Report</vt:lpstr>
      <vt:lpstr>Map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Yeo</dc:creator>
  <cp:lastModifiedBy>Martin Yeo</cp:lastModifiedBy>
  <dcterms:created xsi:type="dcterms:W3CDTF">2015-10-27T20:55:32Z</dcterms:created>
  <dcterms:modified xsi:type="dcterms:W3CDTF">2015-10-31T13:36:48Z</dcterms:modified>
</cp:coreProperties>
</file>